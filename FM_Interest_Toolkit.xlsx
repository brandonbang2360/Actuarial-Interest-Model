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66925"/>
  <mc:AlternateContent xmlns:mc="http://schemas.openxmlformats.org/markup-compatibility/2006">
    <mc:Choice Requires="x15">
      <x15ac:absPath xmlns:x15ac="http://schemas.microsoft.com/office/spreadsheetml/2010/11/ac" url="https://uscedu-my.sharepoint.com/personal/bjbang_usc_edu/Documents/"/>
    </mc:Choice>
  </mc:AlternateContent>
  <xr:revisionPtr revIDLastSave="409" documentId="11_E60897F41BE170836B02CE998F75CCDC64E183C8" xr6:coauthVersionLast="47" xr6:coauthVersionMax="47" xr10:uidLastSave="{A35E99E4-894B-8348-890E-7693822E8A59}"/>
  <bookViews>
    <workbookView xWindow="0" yWindow="740" windowWidth="29400" windowHeight="18380" xr2:uid="{00000000-000D-0000-FFFF-FFFF00000000}"/>
  </bookViews>
  <sheets>
    <sheet name="README" sheetId="1" r:id="rId1"/>
    <sheet name="Inputs" sheetId="2" r:id="rId2"/>
    <sheet name="Factors" sheetId="3" r:id="rId3"/>
    <sheet name="Annuities" sheetId="4" r:id="rId4"/>
    <sheet name="Loans" sheetId="5" r:id="rId5"/>
    <sheet name="Sensitivity" sheetId="6" r:id="rId6"/>
    <sheet name="Dashboard" sheetId="7" r:id="rId7"/>
  </sheets>
  <definedNames>
    <definedName name="FutureValue">Inputs!$B$15</definedName>
    <definedName name="InterestRate">Inputs!$B$8</definedName>
    <definedName name="LoanAmount">Inputs!$B$13</definedName>
    <definedName name="NumPeriods">Inputs!$B$9</definedName>
    <definedName name="Payment">Inputs!$B$14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3" i="3"/>
  <c r="F5" i="3" s="1"/>
  <c r="B6" i="7"/>
  <c r="B5" i="7"/>
  <c r="B4" i="7"/>
  <c r="B3" i="6"/>
  <c r="B3" i="5" s="1"/>
  <c r="A13" i="5"/>
  <c r="A14" i="5"/>
  <c r="A15" i="5"/>
  <c r="A16" i="5"/>
  <c r="A17" i="5"/>
  <c r="A18" i="5"/>
  <c r="A19" i="5"/>
  <c r="A20" i="5"/>
  <c r="E11" i="5"/>
  <c r="A12" i="5"/>
  <c r="B5" i="5"/>
  <c r="B4" i="5"/>
  <c r="B3" i="4"/>
  <c r="B11" i="4" s="1"/>
  <c r="B4" i="4"/>
  <c r="B5" i="4"/>
  <c r="B4" i="2"/>
  <c r="F10" i="3" l="1"/>
  <c r="E19" i="3"/>
  <c r="E13" i="3"/>
  <c r="E12" i="3"/>
  <c r="F21" i="3"/>
  <c r="E9" i="3"/>
  <c r="E22" i="3"/>
  <c r="E21" i="3"/>
  <c r="F20" i="3"/>
  <c r="F24" i="3"/>
  <c r="F23" i="3"/>
  <c r="E23" i="3"/>
  <c r="F22" i="3"/>
  <c r="E20" i="3"/>
  <c r="F14" i="3"/>
  <c r="F13" i="3"/>
  <c r="E11" i="3"/>
  <c r="F12" i="3"/>
  <c r="E10" i="3"/>
  <c r="F11" i="3"/>
  <c r="B18" i="4"/>
  <c r="B19" i="4" s="1"/>
  <c r="B12" i="4"/>
  <c r="E7" i="3"/>
  <c r="F8" i="3"/>
  <c r="E16" i="3"/>
  <c r="E6" i="3"/>
  <c r="F17" i="3"/>
  <c r="F7" i="3"/>
  <c r="B8" i="4"/>
  <c r="E18" i="3"/>
  <c r="E8" i="3"/>
  <c r="F9" i="3"/>
  <c r="E17" i="3"/>
  <c r="F18" i="3"/>
  <c r="E4" i="3"/>
  <c r="E15" i="3"/>
  <c r="E5" i="3"/>
  <c r="F16" i="3"/>
  <c r="F6" i="3"/>
  <c r="F19" i="3"/>
  <c r="E24" i="3"/>
  <c r="E14" i="3"/>
  <c r="F4" i="3"/>
  <c r="F15" i="3"/>
  <c r="B7" i="5"/>
  <c r="B18" i="5" s="1"/>
  <c r="C11" i="5"/>
  <c r="B7" i="3"/>
  <c r="B8" i="3" s="1"/>
  <c r="B6" i="3"/>
  <c r="B14" i="5" l="1"/>
  <c r="B7" i="7"/>
  <c r="B9" i="4"/>
  <c r="B15" i="4"/>
  <c r="B16" i="4" s="1"/>
  <c r="B15" i="5"/>
  <c r="B13" i="5"/>
  <c r="B4" i="6"/>
  <c r="B7" i="6" s="1"/>
  <c r="B20" i="5"/>
  <c r="B11" i="5"/>
  <c r="D11" i="5" s="1"/>
  <c r="E12" i="5" s="1"/>
  <c r="C12" i="5" s="1"/>
  <c r="B19" i="5"/>
  <c r="B16" i="5"/>
  <c r="B17" i="5"/>
  <c r="B12" i="5"/>
  <c r="B23" i="5" l="1"/>
  <c r="E4" i="7" s="1"/>
  <c r="D12" i="5"/>
  <c r="E13" i="5" s="1"/>
  <c r="C13" i="5" l="1"/>
  <c r="D13" i="5" l="1"/>
  <c r="E14" i="5" s="1"/>
  <c r="C14" i="5" l="1"/>
  <c r="D14" i="5" l="1"/>
  <c r="E15" i="5" s="1"/>
  <c r="C15" i="5" l="1"/>
  <c r="D15" i="5" l="1"/>
  <c r="E16" i="5" s="1"/>
  <c r="C16" i="5" l="1"/>
  <c r="D16" i="5" l="1"/>
  <c r="E17" i="5" s="1"/>
  <c r="C17" i="5" l="1"/>
  <c r="D17" i="5" s="1"/>
  <c r="E18" i="5" s="1"/>
  <c r="C18" i="5" l="1"/>
  <c r="D18" i="5" s="1"/>
  <c r="E19" i="5" s="1"/>
  <c r="C19" i="5" l="1"/>
  <c r="D19" i="5" s="1"/>
  <c r="E20" i="5" s="1"/>
  <c r="C20" i="5" l="1"/>
  <c r="E6" i="7"/>
  <c r="D20" i="5"/>
  <c r="B22" i="5"/>
  <c r="E5" i="7" s="1"/>
</calcChain>
</file>

<file path=xl/sharedStrings.xml><?xml version="1.0" encoding="utf-8"?>
<sst xmlns="http://schemas.openxmlformats.org/spreadsheetml/2006/main" count="97" uniqueCount="86">
  <si>
    <t>Interest Theory &amp; Loan Modeling Toolkit</t>
  </si>
  <si>
    <t>Author : Brandon Bang
Date Created : February 2026
Purpose : Excel-based financial mathematics toolkit aligned with SOA Exam FM concepts</t>
  </si>
  <si>
    <r>
      <rPr>
        <b/>
        <sz val="11"/>
        <color rgb="FF000000"/>
        <rFont val="Calibri"/>
        <family val="2"/>
        <scheme val="minor"/>
      </rPr>
      <t xml:space="preserve">Project Overview
</t>
    </r>
    <r>
      <rPr>
        <sz val="11"/>
        <color rgb="FF000000"/>
        <rFont val="Calibri"/>
        <family val="2"/>
        <scheme val="minor"/>
      </rPr>
      <t>This workbook implements core time value of money calculations used in actuarial and financial analysis. The model computes accumulation factors, discount factors, annuity present and future values, and loan amortization schedules. Sensitivity analysis allows evaluation of how interest rate and term assumptions affect financial outcomes.</t>
    </r>
  </si>
  <si>
    <t>WorkSheet</t>
  </si>
  <si>
    <t>Descriptions</t>
  </si>
  <si>
    <r>
      <rPr>
        <b/>
        <sz val="11"/>
        <color rgb="FF000000"/>
        <rFont val="Calibri"/>
        <family val="2"/>
        <scheme val="minor"/>
      </rPr>
      <t xml:space="preserve">How to Use the Model
</t>
    </r>
    <r>
      <rPr>
        <sz val="11"/>
        <color rgb="FF000000"/>
        <rFont val="Calibri"/>
        <family val="2"/>
        <scheme val="minor"/>
      </rPr>
      <t xml:space="preserve">
1. Modify assumptions only in the </t>
    </r>
    <r>
      <rPr>
        <b/>
        <sz val="11"/>
        <color rgb="FF000000"/>
        <rFont val="Calibri"/>
        <family val="2"/>
        <scheme val="minor"/>
      </rPr>
      <t>Inputs</t>
    </r>
    <r>
      <rPr>
        <sz val="11"/>
        <color rgb="FF000000"/>
        <rFont val="Calibri"/>
        <family val="2"/>
        <scheme val="minor"/>
      </rPr>
      <t xml:space="preserve"> worksheet
2. Do not overwrite formula cells
3. Outputs update automatically across all sheets
4. Review results in the Dashboard tab</t>
    </r>
  </si>
  <si>
    <t>Inputs</t>
  </si>
  <si>
    <t>User-defined assumptions</t>
  </si>
  <si>
    <t>Factors</t>
  </si>
  <si>
    <t>Accumulation and discount factors</t>
  </si>
  <si>
    <r>
      <rPr>
        <b/>
        <sz val="11"/>
        <color rgb="FF000000"/>
        <rFont val="Calibri"/>
        <family val="2"/>
        <scheme val="minor"/>
      </rPr>
      <t xml:space="preserve">Model Assumptions
</t>
    </r>
    <r>
      <rPr>
        <sz val="11"/>
        <color rgb="FF000000"/>
        <rFont val="Calibri"/>
        <family val="2"/>
        <scheme val="minor"/>
      </rPr>
      <t xml:space="preserve">
- interest rate represents effective rate per period
- payments occur at regular intervals
- loan uses level payments
- no default or prepayment assumed
- cash flows discounted using deterministic interest rate</t>
    </r>
  </si>
  <si>
    <t>Annuities</t>
  </si>
  <si>
    <t>Annuity valuation calculations</t>
  </si>
  <si>
    <t>Loans</t>
  </si>
  <si>
    <t>Loan payment and amortization schedule</t>
  </si>
  <si>
    <r>
      <rPr>
        <b/>
        <sz val="11"/>
        <color rgb="FF000000"/>
        <rFont val="Calibri"/>
        <family val="2"/>
        <scheme val="minor"/>
      </rPr>
      <t xml:space="preserve">Concepts Implemented
</t>
    </r>
    <r>
      <rPr>
        <sz val="11"/>
        <color rgb="FF000000"/>
        <rFont val="Calibri"/>
        <family val="2"/>
        <scheme val="minor"/>
      </rPr>
      <t>- time value of money
- discount factors
- accumulation factors
- annuity immediate and due
- loan amortization
- interest rate sensitivity analysis</t>
    </r>
  </si>
  <si>
    <t>Sensitivity</t>
  </si>
  <si>
    <t>Scenario and rate analysis</t>
  </si>
  <si>
    <t>Dashboard</t>
  </si>
  <si>
    <t>Summary outputs and charts</t>
  </si>
  <si>
    <r>
      <rPr>
        <b/>
        <sz val="11"/>
        <color rgb="FF000000"/>
        <rFont val="Calibri"/>
        <family val="2"/>
        <scheme val="minor"/>
      </rPr>
      <t xml:space="preserve">Technical Skills Demonstrated
</t>
    </r>
    <r>
      <rPr>
        <sz val="11"/>
        <color rgb="FF000000"/>
        <rFont val="Calibri"/>
        <family val="2"/>
        <scheme val="minor"/>
      </rPr>
      <t>- advanced excel modeling
- financial functions (PMT, PV, FV)
- data tables and scenario analysis
- structured spreadsheet design
- dynamic dashboards</t>
    </r>
  </si>
  <si>
    <t>Version History - (v1.0) Initial model creation</t>
  </si>
  <si>
    <t>User Input Panel</t>
  </si>
  <si>
    <t>Model Assumptions</t>
  </si>
  <si>
    <t>Last Updated</t>
  </si>
  <si>
    <t>Interest Rate Assumed Constant</t>
  </si>
  <si>
    <t>Payments occur end of period</t>
  </si>
  <si>
    <t>Level payments asumed</t>
  </si>
  <si>
    <t>Financial Assumptions</t>
  </si>
  <si>
    <t>No default or prepayment</t>
  </si>
  <si>
    <t>Interest Rate (i)</t>
  </si>
  <si>
    <t>Effective Interest per Period</t>
  </si>
  <si>
    <t>Number of Periods (n)</t>
  </si>
  <si>
    <t>Total Number of Payments</t>
  </si>
  <si>
    <t>Compounding Periods</t>
  </si>
  <si>
    <t>Annual</t>
  </si>
  <si>
    <t>Assumption</t>
  </si>
  <si>
    <t>Cashflow / Loan Inputs</t>
  </si>
  <si>
    <t>Loan Amount (PV)</t>
  </si>
  <si>
    <t>Initial Loan Princial</t>
  </si>
  <si>
    <t>Payment Amount</t>
  </si>
  <si>
    <t>Level Payment each Period</t>
  </si>
  <si>
    <t>Future Value Target</t>
  </si>
  <si>
    <t>Ending Balance</t>
  </si>
  <si>
    <t>Interest Accumulatio &amp; Discount Factors</t>
  </si>
  <si>
    <t>t</t>
  </si>
  <si>
    <t>(1+i)^t</t>
  </si>
  <si>
    <t>v^t</t>
  </si>
  <si>
    <t>Accumulation Factor (1+i)^n</t>
  </si>
  <si>
    <t>Discount Factor v</t>
  </si>
  <si>
    <t>v^n</t>
  </si>
  <si>
    <t>Annuity Valuation Calculations</t>
  </si>
  <si>
    <t>Payment (PMT)</t>
  </si>
  <si>
    <t>Annuity Immediate</t>
  </si>
  <si>
    <t>PV Annuity Immediate</t>
  </si>
  <si>
    <t>PV of Payments</t>
  </si>
  <si>
    <t>FV Annuity Immediate</t>
  </si>
  <si>
    <t>Future Value of Payments</t>
  </si>
  <si>
    <t>Annuity Due</t>
  </si>
  <si>
    <t>PV Annuity Due</t>
  </si>
  <si>
    <t>PV Payments (Due)</t>
  </si>
  <si>
    <t>FV Annuity Due</t>
  </si>
  <si>
    <t>FV Payments (Due)</t>
  </si>
  <si>
    <t>Loan Amortization Model</t>
  </si>
  <si>
    <t>Interest Rate</t>
  </si>
  <si>
    <t>Number of Periods</t>
  </si>
  <si>
    <t>Loan Amount</t>
  </si>
  <si>
    <t>Level Payment</t>
  </si>
  <si>
    <t>Period</t>
  </si>
  <si>
    <t>Payment</t>
  </si>
  <si>
    <t>Interest</t>
  </si>
  <si>
    <t>Principal</t>
  </si>
  <si>
    <t>Balance</t>
  </si>
  <si>
    <t>Total Interest Paid</t>
  </si>
  <si>
    <t>Total Payments</t>
  </si>
  <si>
    <t>Loan Payment Output</t>
  </si>
  <si>
    <t>Scenario Interest Rate</t>
  </si>
  <si>
    <t xml:space="preserve"> </t>
  </si>
  <si>
    <t>Interest Rate - Sensitivity - Loan Payments</t>
  </si>
  <si>
    <t>Acturial Interest &amp; Loan Modeling Dashboard</t>
  </si>
  <si>
    <t>Model Inputs</t>
  </si>
  <si>
    <t>Payments</t>
  </si>
  <si>
    <t>Key Results</t>
  </si>
  <si>
    <t>Ending Loan Balance</t>
  </si>
  <si>
    <t>Loan Amortization Chart</t>
  </si>
  <si>
    <t>Built in Excel using actuarial interest theory, annuity valuation, loan amortization modeling, and 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</si>
</sst>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5" x14ac:knownFonts="1">
    <font>
      <sz val="11"/>
      <color theme="1"/>
      <name val="Calibri"/>
      <family val="2"/>
      <scheme val="minor"/>
    </font>
    <font>
      <b/>
      <sz val="11"/>
      <color rgb="FF000000"/>
      <name val="Calibri"/>
      <family val="2"/>
      <scheme val="minor"/>
    </font>
    <font>
      <b/>
      <sz val="16"/>
      <color rgb="FF000000"/>
      <name val="Calibri"/>
      <family val="2"/>
      <scheme val="minor"/>
    </font>
    <font>
      <sz val="11"/>
      <color rgb="FF000000"/>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7">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1" fillId="0" borderId="0" xfId="0" applyFont="1"/>
    <xf numFmtId="0" fontId="1" fillId="0" borderId="0" xfId="0" applyFont="1" applyAlignment="1">
      <alignment wrapText="1"/>
    </xf>
    <xf numFmtId="10" fontId="0" fillId="0" borderId="0" xfId="0" applyNumberFormat="1"/>
    <xf numFmtId="10" fontId="0" fillId="2" borderId="0" xfId="0" applyNumberFormat="1" applyFill="1"/>
    <xf numFmtId="0" fontId="0" fillId="2" borderId="0" xfId="0" applyFill="1"/>
    <xf numFmtId="164" fontId="0" fillId="2" borderId="0" xfId="0" applyNumberFormat="1" applyFill="1"/>
    <xf numFmtId="14" fontId="0" fillId="0" borderId="0" xfId="0" applyNumberFormat="1"/>
    <xf numFmtId="0" fontId="4" fillId="0" borderId="0" xfId="0" applyFont="1"/>
    <xf numFmtId="0" fontId="4" fillId="0" borderId="1" xfId="0" applyFont="1" applyBorder="1"/>
    <xf numFmtId="0" fontId="4" fillId="0" borderId="2" xfId="0" applyFont="1" applyBorder="1" applyAlignment="1">
      <alignment horizontal="right"/>
    </xf>
    <xf numFmtId="0" fontId="4" fillId="0" borderId="3" xfId="0" applyFont="1" applyBorder="1" applyAlignment="1">
      <alignment horizontal="right"/>
    </xf>
    <xf numFmtId="0" fontId="0" fillId="0" borderId="0" xfId="0" applyAlignment="1">
      <alignment horizontal="right"/>
    </xf>
    <xf numFmtId="0" fontId="0" fillId="0" borderId="5" xfId="0" applyBorder="1" applyAlignment="1">
      <alignment horizontal="right"/>
    </xf>
    <xf numFmtId="0" fontId="0" fillId="0" borderId="7" xfId="0" applyBorder="1" applyAlignment="1">
      <alignment horizontal="right"/>
    </xf>
    <xf numFmtId="0" fontId="0" fillId="0" borderId="8" xfId="0" applyBorder="1" applyAlignment="1">
      <alignment horizontal="right"/>
    </xf>
    <xf numFmtId="0" fontId="0" fillId="0" borderId="4" xfId="0" applyBorder="1" applyAlignment="1">
      <alignment horizontal="left"/>
    </xf>
    <xf numFmtId="0" fontId="0" fillId="0" borderId="6" xfId="0" applyBorder="1" applyAlignment="1">
      <alignment horizontal="left"/>
    </xf>
    <xf numFmtId="164" fontId="0" fillId="0" borderId="0" xfId="0" applyNumberFormat="1"/>
    <xf numFmtId="8" fontId="0" fillId="0" borderId="0" xfId="0" applyNumberFormat="1"/>
    <xf numFmtId="9" fontId="0" fillId="0" borderId="0" xfId="0" applyNumberFormat="1"/>
    <xf numFmtId="0" fontId="1" fillId="0" borderId="0" xfId="0" applyFont="1" applyAlignment="1">
      <alignment horizontal="center"/>
    </xf>
    <xf numFmtId="164" fontId="4" fillId="0" borderId="0" xfId="0" applyNumberFormat="1" applyFont="1"/>
    <xf numFmtId="0" fontId="4"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Payment Composition Over Time</a:t>
            </a:r>
            <a:r>
              <a:rPr lang="en-US" baseline="0"/>
              <a:t> (Amortization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Loans!$C$10</c:f>
              <c:strCache>
                <c:ptCount val="1"/>
                <c:pt idx="0">
                  <c:v>Interest</c:v>
                </c:pt>
              </c:strCache>
            </c:strRef>
          </c:tx>
          <c:spPr>
            <a:solidFill>
              <a:schemeClr val="accent1"/>
            </a:solidFill>
            <a:ln>
              <a:noFill/>
            </a:ln>
            <a:effectLst/>
          </c:spPr>
          <c:invertIfNegative val="0"/>
          <c:cat>
            <c:numRef>
              <c:f>Loans!$A$11:$A$20</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Loans!$C$11:$C$20</c:f>
              <c:numCache>
                <c:formatCode>"$"#,##0.00</c:formatCode>
                <c:ptCount val="10"/>
                <c:pt idx="0">
                  <c:v>500</c:v>
                </c:pt>
                <c:pt idx="1">
                  <c:v>460.24771251727174</c:v>
                </c:pt>
                <c:pt idx="2">
                  <c:v>418.50781066040702</c:v>
                </c:pt>
                <c:pt idx="3">
                  <c:v>374.68091371069903</c:v>
                </c:pt>
                <c:pt idx="4">
                  <c:v>328.66267191350562</c:v>
                </c:pt>
                <c:pt idx="5">
                  <c:v>280.34351802645256</c:v>
                </c:pt>
                <c:pt idx="6">
                  <c:v>229.60840644504688</c:v>
                </c:pt>
                <c:pt idx="7">
                  <c:v>176.3365392845709</c:v>
                </c:pt>
                <c:pt idx="8">
                  <c:v>120.40107876607111</c:v>
                </c:pt>
                <c:pt idx="9">
                  <c:v>61.668845221646329</c:v>
                </c:pt>
              </c:numCache>
            </c:numRef>
          </c:val>
          <c:extLst>
            <c:ext xmlns:c16="http://schemas.microsoft.com/office/drawing/2014/chart" uri="{C3380CC4-5D6E-409C-BE32-E72D297353CC}">
              <c16:uniqueId val="{00000000-4BE7-5D40-8A66-2EE067208A3A}"/>
            </c:ext>
          </c:extLst>
        </c:ser>
        <c:ser>
          <c:idx val="1"/>
          <c:order val="1"/>
          <c:tx>
            <c:strRef>
              <c:f>Loans!$D$10</c:f>
              <c:strCache>
                <c:ptCount val="1"/>
                <c:pt idx="0">
                  <c:v>Principal</c:v>
                </c:pt>
              </c:strCache>
            </c:strRef>
          </c:tx>
          <c:spPr>
            <a:solidFill>
              <a:schemeClr val="accent2"/>
            </a:solidFill>
            <a:ln>
              <a:noFill/>
            </a:ln>
            <a:effectLst/>
          </c:spPr>
          <c:invertIfNegative val="0"/>
          <c:cat>
            <c:numRef>
              <c:f>Loans!$A$11:$A$20</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Loans!$D$11:$D$20</c:f>
              <c:numCache>
                <c:formatCode>"$"#,##0.00</c:formatCode>
                <c:ptCount val="10"/>
                <c:pt idx="0">
                  <c:v>795.04574965456663</c:v>
                </c:pt>
                <c:pt idx="1">
                  <c:v>834.79803713729484</c:v>
                </c:pt>
                <c:pt idx="2">
                  <c:v>876.53793899415962</c:v>
                </c:pt>
                <c:pt idx="3">
                  <c:v>920.36483594386755</c:v>
                </c:pt>
                <c:pt idx="4">
                  <c:v>966.38307774106102</c:v>
                </c:pt>
                <c:pt idx="5">
                  <c:v>1014.7022316281141</c:v>
                </c:pt>
                <c:pt idx="6">
                  <c:v>1065.4373432095197</c:v>
                </c:pt>
                <c:pt idx="7">
                  <c:v>1118.7092103699956</c:v>
                </c:pt>
                <c:pt idx="8">
                  <c:v>1174.6446708884955</c:v>
                </c:pt>
                <c:pt idx="9">
                  <c:v>1233.3769044329204</c:v>
                </c:pt>
              </c:numCache>
            </c:numRef>
          </c:val>
          <c:extLst>
            <c:ext xmlns:c16="http://schemas.microsoft.com/office/drawing/2014/chart" uri="{C3380CC4-5D6E-409C-BE32-E72D297353CC}">
              <c16:uniqueId val="{00000001-4BE7-5D40-8A66-2EE067208A3A}"/>
            </c:ext>
          </c:extLst>
        </c:ser>
        <c:dLbls>
          <c:showLegendKey val="0"/>
          <c:showVal val="0"/>
          <c:showCatName val="0"/>
          <c:showSerName val="0"/>
          <c:showPercent val="0"/>
          <c:showBubbleSize val="0"/>
        </c:dLbls>
        <c:gapWidth val="150"/>
        <c:overlap val="100"/>
        <c:axId val="512561856"/>
        <c:axId val="512534528"/>
      </c:barChart>
      <c:catAx>
        <c:axId val="51256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34528"/>
        <c:crosses val="autoZero"/>
        <c:auto val="1"/>
        <c:lblAlgn val="ctr"/>
        <c:lblOffset val="100"/>
        <c:noMultiLvlLbl val="0"/>
      </c:catAx>
      <c:valAx>
        <c:axId val="512534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6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xdr:colOff>
      <xdr:row>9</xdr:row>
      <xdr:rowOff>25400</xdr:rowOff>
    </xdr:from>
    <xdr:to>
      <xdr:col>3</xdr:col>
      <xdr:colOff>1511300</xdr:colOff>
      <xdr:row>23</xdr:row>
      <xdr:rowOff>101600</xdr:rowOff>
    </xdr:to>
    <xdr:graphicFrame macro="">
      <xdr:nvGraphicFramePr>
        <xdr:cNvPr id="3" name="Chart 3">
          <a:extLst>
            <a:ext uri="{FF2B5EF4-FFF2-40B4-BE49-F238E27FC236}">
              <a16:creationId xmlns:a16="http://schemas.microsoft.com/office/drawing/2014/main" id="{E3800441-73A2-923D-5DB2-1E0997F48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7F3659-1C26-4BFC-9E30-99020F9CFF51}" name="Table2" displayName="Table2" ref="B5:C11" totalsRowShown="0">
  <autoFilter ref="B5:C11" xr:uid="{407F3659-1C26-4BFC-9E30-99020F9CFF51}"/>
  <tableColumns count="2">
    <tableColumn id="1" xr3:uid="{6F0C3CEC-6FEC-4FFD-9B49-CADFA1E6B733}" name="WorkSheet"/>
    <tableColumn id="2" xr3:uid="{20560EDA-2361-4AA9-A743-23C56099743E}" name="Description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election activeCell="E6" sqref="E6"/>
    </sheetView>
  </sheetViews>
  <sheetFormatPr baseColWidth="10" defaultColWidth="8.83203125" defaultRowHeight="15" x14ac:dyDescent="0.2"/>
  <cols>
    <col min="1" max="1" width="80.5" bestFit="1" customWidth="1"/>
    <col min="2" max="2" width="13.5" bestFit="1" customWidth="1"/>
    <col min="3" max="3" width="38.1640625" bestFit="1" customWidth="1"/>
  </cols>
  <sheetData>
    <row r="1" spans="1:3" ht="21" x14ac:dyDescent="0.25">
      <c r="A1" s="1" t="s">
        <v>0</v>
      </c>
    </row>
    <row r="2" spans="1:3" ht="48" x14ac:dyDescent="0.2">
      <c r="A2" s="2" t="s">
        <v>1</v>
      </c>
    </row>
    <row r="4" spans="1:3" ht="80" x14ac:dyDescent="0.2">
      <c r="A4" s="3" t="s">
        <v>2</v>
      </c>
    </row>
    <row r="5" spans="1:3" x14ac:dyDescent="0.2">
      <c r="A5" s="2"/>
      <c r="B5" t="s">
        <v>3</v>
      </c>
      <c r="C5" t="s">
        <v>4</v>
      </c>
    </row>
    <row r="6" spans="1:3" ht="96" x14ac:dyDescent="0.2">
      <c r="A6" s="3" t="s">
        <v>5</v>
      </c>
      <c r="B6" t="s">
        <v>6</v>
      </c>
      <c r="C6" t="s">
        <v>7</v>
      </c>
    </row>
    <row r="7" spans="1:3" x14ac:dyDescent="0.2">
      <c r="B7" t="s">
        <v>8</v>
      </c>
      <c r="C7" t="s">
        <v>9</v>
      </c>
    </row>
    <row r="8" spans="1:3" ht="112" x14ac:dyDescent="0.2">
      <c r="A8" s="3" t="s">
        <v>10</v>
      </c>
      <c r="B8" t="s">
        <v>11</v>
      </c>
      <c r="C8" t="s">
        <v>12</v>
      </c>
    </row>
    <row r="9" spans="1:3" x14ac:dyDescent="0.2">
      <c r="B9" t="s">
        <v>13</v>
      </c>
      <c r="C9" t="s">
        <v>14</v>
      </c>
    </row>
    <row r="10" spans="1:3" ht="128" x14ac:dyDescent="0.2">
      <c r="A10" s="3" t="s">
        <v>15</v>
      </c>
      <c r="B10" t="s">
        <v>16</v>
      </c>
      <c r="C10" t="s">
        <v>17</v>
      </c>
    </row>
    <row r="11" spans="1:3" x14ac:dyDescent="0.2">
      <c r="B11" t="s">
        <v>18</v>
      </c>
      <c r="C11" t="s">
        <v>19</v>
      </c>
    </row>
    <row r="12" spans="1:3" ht="112" x14ac:dyDescent="0.2">
      <c r="A12" s="5" t="s">
        <v>20</v>
      </c>
    </row>
    <row r="14" spans="1:3" x14ac:dyDescent="0.2">
      <c r="A14"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F0CB6-1D66-4E95-93DA-FEF3BDE65248}">
  <dimension ref="A1:E15"/>
  <sheetViews>
    <sheetView workbookViewId="0">
      <selection activeCell="A32" sqref="A32"/>
    </sheetView>
  </sheetViews>
  <sheetFormatPr baseColWidth="10" defaultColWidth="8.83203125" defaultRowHeight="15" x14ac:dyDescent="0.2"/>
  <cols>
    <col min="1" max="1" width="52.6640625" bestFit="1" customWidth="1"/>
    <col min="2" max="2" width="10.83203125" bestFit="1" customWidth="1"/>
    <col min="3" max="3" width="25" bestFit="1" customWidth="1"/>
    <col min="5" max="5" width="29.83203125" bestFit="1" customWidth="1"/>
  </cols>
  <sheetData>
    <row r="1" spans="1:5" ht="21" x14ac:dyDescent="0.25">
      <c r="A1" s="1" t="s">
        <v>0</v>
      </c>
    </row>
    <row r="2" spans="1:5" x14ac:dyDescent="0.2">
      <c r="A2" t="s">
        <v>22</v>
      </c>
    </row>
    <row r="3" spans="1:5" x14ac:dyDescent="0.2">
      <c r="E3" s="4" t="s">
        <v>23</v>
      </c>
    </row>
    <row r="4" spans="1:5" x14ac:dyDescent="0.2">
      <c r="A4" t="s">
        <v>24</v>
      </c>
      <c r="B4" s="10">
        <f ca="1">TODAY()</f>
        <v>46076</v>
      </c>
      <c r="E4" t="s">
        <v>25</v>
      </c>
    </row>
    <row r="5" spans="1:5" x14ac:dyDescent="0.2">
      <c r="E5" t="s">
        <v>26</v>
      </c>
    </row>
    <row r="6" spans="1:5" x14ac:dyDescent="0.2">
      <c r="E6" t="s">
        <v>27</v>
      </c>
    </row>
    <row r="7" spans="1:5" x14ac:dyDescent="0.2">
      <c r="A7" s="4" t="s">
        <v>28</v>
      </c>
      <c r="E7" t="s">
        <v>29</v>
      </c>
    </row>
    <row r="8" spans="1:5" x14ac:dyDescent="0.2">
      <c r="A8" t="s">
        <v>30</v>
      </c>
      <c r="B8" s="7">
        <v>0.05</v>
      </c>
      <c r="C8" t="s">
        <v>31</v>
      </c>
    </row>
    <row r="9" spans="1:5" x14ac:dyDescent="0.2">
      <c r="A9" t="s">
        <v>32</v>
      </c>
      <c r="B9" s="8">
        <v>10</v>
      </c>
      <c r="C9" t="s">
        <v>33</v>
      </c>
    </row>
    <row r="10" spans="1:5" x14ac:dyDescent="0.2">
      <c r="A10" t="s">
        <v>34</v>
      </c>
      <c r="B10" t="s">
        <v>35</v>
      </c>
      <c r="C10" t="s">
        <v>36</v>
      </c>
    </row>
    <row r="12" spans="1:5" x14ac:dyDescent="0.2">
      <c r="A12" s="4" t="s">
        <v>37</v>
      </c>
    </row>
    <row r="13" spans="1:5" x14ac:dyDescent="0.2">
      <c r="A13" t="s">
        <v>38</v>
      </c>
      <c r="B13" s="9">
        <v>10000</v>
      </c>
      <c r="C13" t="s">
        <v>39</v>
      </c>
    </row>
    <row r="14" spans="1:5" x14ac:dyDescent="0.2">
      <c r="A14" t="s">
        <v>40</v>
      </c>
      <c r="B14" s="9">
        <v>1000</v>
      </c>
      <c r="C14" t="s">
        <v>41</v>
      </c>
    </row>
    <row r="15" spans="1:5" x14ac:dyDescent="0.2">
      <c r="A15" t="s">
        <v>42</v>
      </c>
      <c r="B15" s="8">
        <v>0</v>
      </c>
      <c r="C15"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6900-F593-43E8-A185-EE51A67C1BEA}">
  <dimension ref="A1:F24"/>
  <sheetViews>
    <sheetView workbookViewId="0">
      <selection activeCell="B8" sqref="B8"/>
    </sheetView>
  </sheetViews>
  <sheetFormatPr baseColWidth="10" defaultColWidth="8.83203125" defaultRowHeight="15" x14ac:dyDescent="0.2"/>
  <cols>
    <col min="1" max="1" width="37.83203125" bestFit="1" customWidth="1"/>
    <col min="2" max="2" width="6.83203125" customWidth="1"/>
  </cols>
  <sheetData>
    <row r="1" spans="1:6" ht="21" customHeight="1" x14ac:dyDescent="0.2">
      <c r="A1" s="11" t="s">
        <v>44</v>
      </c>
      <c r="B1" s="11"/>
      <c r="C1" s="11"/>
      <c r="D1" s="11"/>
    </row>
    <row r="3" spans="1:6" x14ac:dyDescent="0.2">
      <c r="A3" t="s">
        <v>30</v>
      </c>
      <c r="B3" s="6">
        <f>Inputs!B8</f>
        <v>0.05</v>
      </c>
      <c r="D3" s="12" t="s">
        <v>45</v>
      </c>
      <c r="E3" s="13" t="s">
        <v>46</v>
      </c>
      <c r="F3" s="14" t="s">
        <v>47</v>
      </c>
    </row>
    <row r="4" spans="1:6" x14ac:dyDescent="0.2">
      <c r="A4" t="s">
        <v>32</v>
      </c>
      <c r="B4">
        <f>Inputs!B9</f>
        <v>10</v>
      </c>
      <c r="D4" s="19">
        <v>0</v>
      </c>
      <c r="E4" s="15">
        <f>(1+$B$3)^D4</f>
        <v>1</v>
      </c>
      <c r="F4" s="16">
        <f>(1/(1+$B$3))^D4</f>
        <v>1</v>
      </c>
    </row>
    <row r="5" spans="1:6" x14ac:dyDescent="0.2">
      <c r="D5" s="19">
        <v>1</v>
      </c>
      <c r="E5" s="15">
        <f t="shared" ref="E5:E24" si="0">(1+$B$3)^D5</f>
        <v>1.05</v>
      </c>
      <c r="F5" s="16">
        <f t="shared" ref="F5:F24" si="1">(1/(1+$B$3))^D5</f>
        <v>0.95238095238095233</v>
      </c>
    </row>
    <row r="6" spans="1:6" x14ac:dyDescent="0.2">
      <c r="A6" t="s">
        <v>48</v>
      </c>
      <c r="B6">
        <f>(1+B3)^B4</f>
        <v>1.6288946267774416</v>
      </c>
      <c r="D6" s="19">
        <v>2</v>
      </c>
      <c r="E6" s="15">
        <f t="shared" si="0"/>
        <v>1.1025</v>
      </c>
      <c r="F6" s="16">
        <f t="shared" si="1"/>
        <v>0.90702947845804982</v>
      </c>
    </row>
    <row r="7" spans="1:6" x14ac:dyDescent="0.2">
      <c r="A7" t="s">
        <v>49</v>
      </c>
      <c r="B7">
        <f>1/(1+B3)</f>
        <v>0.95238095238095233</v>
      </c>
      <c r="D7" s="19">
        <v>3</v>
      </c>
      <c r="E7" s="15">
        <f t="shared" si="0"/>
        <v>1.1576250000000001</v>
      </c>
      <c r="F7" s="16">
        <f t="shared" si="1"/>
        <v>0.86383759853147601</v>
      </c>
    </row>
    <row r="8" spans="1:6" x14ac:dyDescent="0.2">
      <c r="A8" t="s">
        <v>50</v>
      </c>
      <c r="B8">
        <f>B7^B4</f>
        <v>0.6139132535407591</v>
      </c>
      <c r="D8" s="19">
        <v>4</v>
      </c>
      <c r="E8" s="15">
        <f t="shared" si="0"/>
        <v>1.21550625</v>
      </c>
      <c r="F8" s="16">
        <f t="shared" si="1"/>
        <v>0.82270247479188185</v>
      </c>
    </row>
    <row r="9" spans="1:6" x14ac:dyDescent="0.2">
      <c r="D9" s="19">
        <v>5</v>
      </c>
      <c r="E9" s="15">
        <f t="shared" si="0"/>
        <v>1.2762815625000001</v>
      </c>
      <c r="F9" s="16">
        <f t="shared" si="1"/>
        <v>0.78352616646845885</v>
      </c>
    </row>
    <row r="10" spans="1:6" x14ac:dyDescent="0.2">
      <c r="A10" s="11"/>
      <c r="D10" s="19">
        <v>6</v>
      </c>
      <c r="E10" s="15">
        <f t="shared" si="0"/>
        <v>1.340095640625</v>
      </c>
      <c r="F10" s="16">
        <f t="shared" si="1"/>
        <v>0.7462153966366275</v>
      </c>
    </row>
    <row r="11" spans="1:6" x14ac:dyDescent="0.2">
      <c r="D11" s="19">
        <v>7</v>
      </c>
      <c r="E11" s="15">
        <f t="shared" si="0"/>
        <v>1.4071004226562502</v>
      </c>
      <c r="F11" s="16">
        <f t="shared" si="1"/>
        <v>0.71068133013012136</v>
      </c>
    </row>
    <row r="12" spans="1:6" x14ac:dyDescent="0.2">
      <c r="D12" s="19">
        <v>8</v>
      </c>
      <c r="E12" s="15">
        <f t="shared" si="0"/>
        <v>1.4774554437890626</v>
      </c>
      <c r="F12" s="16">
        <f t="shared" si="1"/>
        <v>0.676839362028687</v>
      </c>
    </row>
    <row r="13" spans="1:6" x14ac:dyDescent="0.2">
      <c r="D13" s="19">
        <v>9</v>
      </c>
      <c r="E13" s="15">
        <f t="shared" si="0"/>
        <v>1.5513282159785158</v>
      </c>
      <c r="F13" s="16">
        <f t="shared" si="1"/>
        <v>0.64460891621779715</v>
      </c>
    </row>
    <row r="14" spans="1:6" x14ac:dyDescent="0.2">
      <c r="D14" s="19">
        <v>10</v>
      </c>
      <c r="E14" s="15">
        <f t="shared" si="0"/>
        <v>1.6288946267774416</v>
      </c>
      <c r="F14" s="16">
        <f t="shared" si="1"/>
        <v>0.6139132535407591</v>
      </c>
    </row>
    <row r="15" spans="1:6" x14ac:dyDescent="0.2">
      <c r="D15" s="19">
        <v>11</v>
      </c>
      <c r="E15" s="15">
        <f t="shared" si="0"/>
        <v>1.7103393581163138</v>
      </c>
      <c r="F15" s="16">
        <f t="shared" si="1"/>
        <v>0.58467928908643729</v>
      </c>
    </row>
    <row r="16" spans="1:6" x14ac:dyDescent="0.2">
      <c r="D16" s="19">
        <v>12</v>
      </c>
      <c r="E16" s="15">
        <f t="shared" si="0"/>
        <v>1.7958563260221292</v>
      </c>
      <c r="F16" s="16">
        <f t="shared" si="1"/>
        <v>0.55683741817755927</v>
      </c>
    </row>
    <row r="17" spans="4:6" x14ac:dyDescent="0.2">
      <c r="D17" s="19">
        <v>13</v>
      </c>
      <c r="E17" s="15">
        <f t="shared" si="0"/>
        <v>1.885649142323236</v>
      </c>
      <c r="F17" s="16">
        <f t="shared" si="1"/>
        <v>0.53032135064529451</v>
      </c>
    </row>
    <row r="18" spans="4:6" x14ac:dyDescent="0.2">
      <c r="D18" s="19">
        <v>14</v>
      </c>
      <c r="E18" s="15">
        <f t="shared" si="0"/>
        <v>1.9799315994393973</v>
      </c>
      <c r="F18" s="16">
        <f t="shared" si="1"/>
        <v>0.50506795299551854</v>
      </c>
    </row>
    <row r="19" spans="4:6" x14ac:dyDescent="0.2">
      <c r="D19" s="19">
        <v>15</v>
      </c>
      <c r="E19" s="15">
        <f t="shared" si="0"/>
        <v>2.0789281794113679</v>
      </c>
      <c r="F19" s="16">
        <f t="shared" si="1"/>
        <v>0.48101709809097004</v>
      </c>
    </row>
    <row r="20" spans="4:6" x14ac:dyDescent="0.2">
      <c r="D20" s="19">
        <v>16</v>
      </c>
      <c r="E20" s="15">
        <f t="shared" si="0"/>
        <v>2.182874588381936</v>
      </c>
      <c r="F20" s="16">
        <f t="shared" si="1"/>
        <v>0.45811152199140004</v>
      </c>
    </row>
    <row r="21" spans="4:6" x14ac:dyDescent="0.2">
      <c r="D21" s="19">
        <v>17</v>
      </c>
      <c r="E21" s="15">
        <f t="shared" si="0"/>
        <v>2.2920183178010332</v>
      </c>
      <c r="F21" s="16">
        <f t="shared" si="1"/>
        <v>0.43629668761085716</v>
      </c>
    </row>
    <row r="22" spans="4:6" x14ac:dyDescent="0.2">
      <c r="D22" s="19">
        <v>18</v>
      </c>
      <c r="E22" s="15">
        <f t="shared" si="0"/>
        <v>2.4066192336910848</v>
      </c>
      <c r="F22" s="16">
        <f t="shared" si="1"/>
        <v>0.41552065486748302</v>
      </c>
    </row>
    <row r="23" spans="4:6" x14ac:dyDescent="0.2">
      <c r="D23" s="19">
        <v>19</v>
      </c>
      <c r="E23" s="15">
        <f t="shared" si="0"/>
        <v>2.526950195375639</v>
      </c>
      <c r="F23" s="16">
        <f t="shared" si="1"/>
        <v>0.39573395701665048</v>
      </c>
    </row>
    <row r="24" spans="4:6" x14ac:dyDescent="0.2">
      <c r="D24" s="20">
        <v>20</v>
      </c>
      <c r="E24" s="17">
        <f t="shared" si="0"/>
        <v>2.6532977051444209</v>
      </c>
      <c r="F24" s="18">
        <f t="shared" si="1"/>
        <v>0.37688948287300045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3747-A4C5-4A6B-9A24-79A0CB2E4566}">
  <dimension ref="A1:D19"/>
  <sheetViews>
    <sheetView workbookViewId="0">
      <selection activeCell="E28" sqref="E28"/>
    </sheetView>
  </sheetViews>
  <sheetFormatPr baseColWidth="10" defaultColWidth="8.83203125" defaultRowHeight="15" x14ac:dyDescent="0.2"/>
  <cols>
    <col min="1" max="1" width="24" bestFit="1" customWidth="1"/>
    <col min="2" max="2" width="12.5" bestFit="1" customWidth="1"/>
  </cols>
  <sheetData>
    <row r="1" spans="1:4" x14ac:dyDescent="0.2">
      <c r="A1" s="24" t="s">
        <v>51</v>
      </c>
      <c r="B1" s="24"/>
      <c r="C1" s="24"/>
      <c r="D1" s="24"/>
    </row>
    <row r="3" spans="1:4" x14ac:dyDescent="0.2">
      <c r="A3" t="s">
        <v>30</v>
      </c>
      <c r="B3" s="6">
        <f>InterestRate</f>
        <v>0.05</v>
      </c>
    </row>
    <row r="4" spans="1:4" x14ac:dyDescent="0.2">
      <c r="A4" t="s">
        <v>32</v>
      </c>
      <c r="B4">
        <f>NumPeriods</f>
        <v>10</v>
      </c>
    </row>
    <row r="5" spans="1:4" x14ac:dyDescent="0.2">
      <c r="A5" t="s">
        <v>52</v>
      </c>
      <c r="B5" s="21">
        <f>Payment</f>
        <v>1000</v>
      </c>
    </row>
    <row r="7" spans="1:4" x14ac:dyDescent="0.2">
      <c r="A7" s="4" t="s">
        <v>53</v>
      </c>
    </row>
    <row r="8" spans="1:4" x14ac:dyDescent="0.2">
      <c r="A8" t="s">
        <v>54</v>
      </c>
      <c r="B8">
        <f>(1-(1+B3)^(-B4))/B3</f>
        <v>7.7217349291848132</v>
      </c>
    </row>
    <row r="9" spans="1:4" x14ac:dyDescent="0.2">
      <c r="A9" t="s">
        <v>55</v>
      </c>
      <c r="B9" s="21">
        <f>B5*B8</f>
        <v>7721.7349291848132</v>
      </c>
    </row>
    <row r="11" spans="1:4" x14ac:dyDescent="0.2">
      <c r="A11" t="s">
        <v>56</v>
      </c>
      <c r="B11">
        <f>((1+B3)^B4-1)/B3</f>
        <v>12.57789253554883</v>
      </c>
    </row>
    <row r="12" spans="1:4" x14ac:dyDescent="0.2">
      <c r="A12" t="s">
        <v>57</v>
      </c>
      <c r="B12" s="21">
        <f>B5*B11</f>
        <v>12577.89253554883</v>
      </c>
    </row>
    <row r="14" spans="1:4" x14ac:dyDescent="0.2">
      <c r="A14" s="4" t="s">
        <v>58</v>
      </c>
    </row>
    <row r="15" spans="1:4" x14ac:dyDescent="0.2">
      <c r="A15" t="s">
        <v>59</v>
      </c>
      <c r="B15">
        <f>B8*(1+B3)</f>
        <v>8.107821675644054</v>
      </c>
    </row>
    <row r="16" spans="1:4" x14ac:dyDescent="0.2">
      <c r="A16" t="s">
        <v>60</v>
      </c>
      <c r="B16" s="21">
        <f>B5*B15</f>
        <v>8107.8216756440543</v>
      </c>
    </row>
    <row r="18" spans="1:2" x14ac:dyDescent="0.2">
      <c r="A18" t="s">
        <v>61</v>
      </c>
      <c r="B18">
        <f>B11*(1+B3)</f>
        <v>13.206787162326272</v>
      </c>
    </row>
    <row r="19" spans="1:2" x14ac:dyDescent="0.2">
      <c r="A19" t="s">
        <v>62</v>
      </c>
      <c r="B19" s="21">
        <f>B5*B18</f>
        <v>13206.787162326273</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EA168-1535-4321-B38D-82E9A8F0D20B}">
  <dimension ref="A1:E23"/>
  <sheetViews>
    <sheetView workbookViewId="0">
      <selection activeCell="A31" sqref="A31"/>
    </sheetView>
  </sheetViews>
  <sheetFormatPr baseColWidth="10" defaultColWidth="8.83203125" defaultRowHeight="15" x14ac:dyDescent="0.2"/>
  <cols>
    <col min="1" max="1" width="17.83203125" bestFit="1" customWidth="1"/>
    <col min="2" max="2" width="11.5" bestFit="1" customWidth="1"/>
    <col min="3" max="3" width="9.33203125" bestFit="1" customWidth="1"/>
    <col min="4" max="4" width="9.83203125" bestFit="1" customWidth="1"/>
    <col min="5" max="5" width="10.83203125" bestFit="1" customWidth="1"/>
  </cols>
  <sheetData>
    <row r="1" spans="1:5" x14ac:dyDescent="0.2">
      <c r="A1" s="24" t="s">
        <v>63</v>
      </c>
      <c r="B1" s="24"/>
      <c r="C1" s="24"/>
      <c r="D1" s="24"/>
    </row>
    <row r="3" spans="1:5" x14ac:dyDescent="0.2">
      <c r="A3" t="s">
        <v>64</v>
      </c>
      <c r="B3" s="6">
        <f>Sensitivity!B3</f>
        <v>0.05</v>
      </c>
      <c r="E3" s="6"/>
    </row>
    <row r="4" spans="1:5" x14ac:dyDescent="0.2">
      <c r="A4" t="s">
        <v>65</v>
      </c>
      <c r="B4">
        <f>NumPeriods</f>
        <v>10</v>
      </c>
    </row>
    <row r="5" spans="1:5" x14ac:dyDescent="0.2">
      <c r="A5" t="s">
        <v>66</v>
      </c>
      <c r="B5" s="21">
        <f>LoanAmount</f>
        <v>10000</v>
      </c>
    </row>
    <row r="7" spans="1:5" x14ac:dyDescent="0.2">
      <c r="A7" t="s">
        <v>67</v>
      </c>
      <c r="B7" s="22">
        <f>PMT(B3, B4, -B5)</f>
        <v>1295.0457496545666</v>
      </c>
    </row>
    <row r="10" spans="1:5" x14ac:dyDescent="0.2">
      <c r="A10" s="11" t="s">
        <v>68</v>
      </c>
      <c r="B10" s="11" t="s">
        <v>69</v>
      </c>
      <c r="C10" s="11" t="s">
        <v>70</v>
      </c>
      <c r="D10" s="11" t="s">
        <v>71</v>
      </c>
      <c r="E10" s="11" t="s">
        <v>72</v>
      </c>
    </row>
    <row r="11" spans="1:5" x14ac:dyDescent="0.2">
      <c r="A11">
        <v>1</v>
      </c>
      <c r="B11" s="21">
        <f>$B$7</f>
        <v>1295.0457496545666</v>
      </c>
      <c r="C11" s="21">
        <f>E11*$B$3</f>
        <v>500</v>
      </c>
      <c r="D11" s="21">
        <f>B11-C11</f>
        <v>795.04574965456663</v>
      </c>
      <c r="E11" s="21">
        <f>B5</f>
        <v>10000</v>
      </c>
    </row>
    <row r="12" spans="1:5" x14ac:dyDescent="0.2">
      <c r="A12">
        <f>A11+1</f>
        <v>2</v>
      </c>
      <c r="B12" s="21">
        <f>$B$7</f>
        <v>1295.0457496545666</v>
      </c>
      <c r="C12" s="21">
        <f>E12*$B$3</f>
        <v>460.24771251727174</v>
      </c>
      <c r="D12" s="21">
        <f>B12-C12</f>
        <v>834.79803713729484</v>
      </c>
      <c r="E12" s="21">
        <f>E11-D11</f>
        <v>9204.954250345434</v>
      </c>
    </row>
    <row r="13" spans="1:5" x14ac:dyDescent="0.2">
      <c r="A13">
        <f t="shared" ref="A13:A20" si="0">A12+1</f>
        <v>3</v>
      </c>
      <c r="B13" s="21">
        <f t="shared" ref="B13:B20" si="1">$B$7</f>
        <v>1295.0457496545666</v>
      </c>
      <c r="C13" s="21">
        <f t="shared" ref="C13:C20" si="2">E13*$B$3</f>
        <v>418.50781066040702</v>
      </c>
      <c r="D13" s="21">
        <f t="shared" ref="D13:D20" si="3">B13-C13</f>
        <v>876.53793899415962</v>
      </c>
      <c r="E13" s="21">
        <f t="shared" ref="E13:E20" si="4">E12-D12</f>
        <v>8370.1562132081399</v>
      </c>
    </row>
    <row r="14" spans="1:5" x14ac:dyDescent="0.2">
      <c r="A14">
        <f t="shared" si="0"/>
        <v>4</v>
      </c>
      <c r="B14" s="21">
        <f t="shared" si="1"/>
        <v>1295.0457496545666</v>
      </c>
      <c r="C14" s="21">
        <f t="shared" si="2"/>
        <v>374.68091371069903</v>
      </c>
      <c r="D14" s="21">
        <f t="shared" si="3"/>
        <v>920.36483594386755</v>
      </c>
      <c r="E14" s="21">
        <f t="shared" si="4"/>
        <v>7493.6182742139799</v>
      </c>
    </row>
    <row r="15" spans="1:5" x14ac:dyDescent="0.2">
      <c r="A15">
        <f t="shared" si="0"/>
        <v>5</v>
      </c>
      <c r="B15" s="21">
        <f t="shared" si="1"/>
        <v>1295.0457496545666</v>
      </c>
      <c r="C15" s="21">
        <f t="shared" si="2"/>
        <v>328.66267191350562</v>
      </c>
      <c r="D15" s="21">
        <f t="shared" si="3"/>
        <v>966.38307774106102</v>
      </c>
      <c r="E15" s="21">
        <f t="shared" si="4"/>
        <v>6573.2534382701124</v>
      </c>
    </row>
    <row r="16" spans="1:5" x14ac:dyDescent="0.2">
      <c r="A16">
        <f t="shared" si="0"/>
        <v>6</v>
      </c>
      <c r="B16" s="21">
        <f t="shared" si="1"/>
        <v>1295.0457496545666</v>
      </c>
      <c r="C16" s="21">
        <f t="shared" si="2"/>
        <v>280.34351802645256</v>
      </c>
      <c r="D16" s="21">
        <f>B16-C16</f>
        <v>1014.7022316281141</v>
      </c>
      <c r="E16" s="21">
        <f t="shared" si="4"/>
        <v>5606.8703605290511</v>
      </c>
    </row>
    <row r="17" spans="1:5" x14ac:dyDescent="0.2">
      <c r="A17">
        <f t="shared" si="0"/>
        <v>7</v>
      </c>
      <c r="B17" s="21">
        <f t="shared" si="1"/>
        <v>1295.0457496545666</v>
      </c>
      <c r="C17" s="21">
        <f t="shared" si="2"/>
        <v>229.60840644504688</v>
      </c>
      <c r="D17" s="21">
        <f t="shared" si="3"/>
        <v>1065.4373432095197</v>
      </c>
      <c r="E17" s="21">
        <f t="shared" si="4"/>
        <v>4592.1681289009375</v>
      </c>
    </row>
    <row r="18" spans="1:5" x14ac:dyDescent="0.2">
      <c r="A18">
        <f t="shared" si="0"/>
        <v>8</v>
      </c>
      <c r="B18" s="21">
        <f t="shared" si="1"/>
        <v>1295.0457496545666</v>
      </c>
      <c r="C18" s="21">
        <f t="shared" si="2"/>
        <v>176.3365392845709</v>
      </c>
      <c r="D18" s="21">
        <f t="shared" si="3"/>
        <v>1118.7092103699956</v>
      </c>
      <c r="E18" s="21">
        <f t="shared" si="4"/>
        <v>3526.7307856914176</v>
      </c>
    </row>
    <row r="19" spans="1:5" x14ac:dyDescent="0.2">
      <c r="A19">
        <f t="shared" si="0"/>
        <v>9</v>
      </c>
      <c r="B19" s="21">
        <f t="shared" si="1"/>
        <v>1295.0457496545666</v>
      </c>
      <c r="C19" s="21">
        <f t="shared" si="2"/>
        <v>120.40107876607111</v>
      </c>
      <c r="D19" s="21">
        <f t="shared" si="3"/>
        <v>1174.6446708884955</v>
      </c>
      <c r="E19" s="21">
        <f t="shared" si="4"/>
        <v>2408.021575321422</v>
      </c>
    </row>
    <row r="20" spans="1:5" x14ac:dyDescent="0.2">
      <c r="A20">
        <f t="shared" si="0"/>
        <v>10</v>
      </c>
      <c r="B20" s="21">
        <f t="shared" si="1"/>
        <v>1295.0457496545666</v>
      </c>
      <c r="C20" s="21">
        <f t="shared" si="2"/>
        <v>61.668845221646329</v>
      </c>
      <c r="D20" s="21">
        <f t="shared" si="3"/>
        <v>1233.3769044329204</v>
      </c>
      <c r="E20" s="21">
        <f t="shared" si="4"/>
        <v>1233.3769044329265</v>
      </c>
    </row>
    <row r="21" spans="1:5" x14ac:dyDescent="0.2">
      <c r="B21" s="22"/>
      <c r="C21" s="21"/>
      <c r="D21" s="22"/>
      <c r="E21" s="21"/>
    </row>
    <row r="22" spans="1:5" x14ac:dyDescent="0.2">
      <c r="A22" t="s">
        <v>73</v>
      </c>
      <c r="B22" s="22">
        <f>SUM(C11:C20)</f>
        <v>2950.4574965456709</v>
      </c>
      <c r="C22" s="21"/>
      <c r="D22" s="22"/>
      <c r="E22" s="21"/>
    </row>
    <row r="23" spans="1:5" x14ac:dyDescent="0.2">
      <c r="A23" t="s">
        <v>74</v>
      </c>
      <c r="B23" s="22">
        <f>SUM(B11:B20)</f>
        <v>12950.457496545665</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D995A-DA58-4394-98AF-95C8BC7277A7}">
  <dimension ref="A1:E13"/>
  <sheetViews>
    <sheetView workbookViewId="0">
      <selection activeCell="K28" sqref="K28"/>
    </sheetView>
  </sheetViews>
  <sheetFormatPr baseColWidth="10" defaultColWidth="8.83203125" defaultRowHeight="15" x14ac:dyDescent="0.2"/>
  <cols>
    <col min="1" max="1" width="20.5" bestFit="1" customWidth="1"/>
    <col min="2" max="2" width="10.33203125" bestFit="1" customWidth="1"/>
  </cols>
  <sheetData>
    <row r="1" spans="1:5" x14ac:dyDescent="0.2">
      <c r="A1" s="24" t="s">
        <v>78</v>
      </c>
      <c r="B1" s="24"/>
      <c r="C1" s="24"/>
      <c r="D1" s="24"/>
    </row>
    <row r="3" spans="1:5" x14ac:dyDescent="0.2">
      <c r="A3" t="s">
        <v>76</v>
      </c>
      <c r="B3" s="6">
        <f>Inputs!B8</f>
        <v>0.05</v>
      </c>
    </row>
    <row r="4" spans="1:5" x14ac:dyDescent="0.2">
      <c r="A4" t="s">
        <v>75</v>
      </c>
      <c r="B4" s="22">
        <f>Loans!B7</f>
        <v>1295.0457496545666</v>
      </c>
    </row>
    <row r="7" spans="1:5" x14ac:dyDescent="0.2">
      <c r="A7" s="11" t="s">
        <v>64</v>
      </c>
      <c r="B7" s="25">
        <f>B4</f>
        <v>1295.0457496545666</v>
      </c>
    </row>
    <row r="8" spans="1:5" x14ac:dyDescent="0.2">
      <c r="A8" s="23">
        <v>0.03</v>
      </c>
      <c r="B8" s="21">
        <f t="dataTable" ref="B8:B13" dt2D="0" dtr="0" r1="B3"/>
        <v>1172.305066051596</v>
      </c>
    </row>
    <row r="9" spans="1:5" x14ac:dyDescent="0.2">
      <c r="A9" s="23">
        <v>0.04</v>
      </c>
      <c r="B9" s="21">
        <v>1232.9094433013652</v>
      </c>
    </row>
    <row r="10" spans="1:5" x14ac:dyDescent="0.2">
      <c r="A10" s="23">
        <v>0.05</v>
      </c>
      <c r="B10" s="21">
        <v>1295.0457496545666</v>
      </c>
    </row>
    <row r="11" spans="1:5" x14ac:dyDescent="0.2">
      <c r="A11" s="23">
        <v>0.06</v>
      </c>
      <c r="B11" s="21">
        <v>1358.6795822038382</v>
      </c>
    </row>
    <row r="12" spans="1:5" x14ac:dyDescent="0.2">
      <c r="A12" s="23">
        <v>7.0000000000000007E-2</v>
      </c>
      <c r="B12" s="21">
        <v>1423.7750272736473</v>
      </c>
    </row>
    <row r="13" spans="1:5" x14ac:dyDescent="0.2">
      <c r="A13" s="23">
        <v>0.08</v>
      </c>
      <c r="B13" s="21">
        <v>1490.2948869707541</v>
      </c>
      <c r="E13" t="s">
        <v>77</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5B42E-A073-461B-B480-E27902FBDCB3}">
  <dimension ref="A1:E26"/>
  <sheetViews>
    <sheetView zoomScale="141" zoomScaleNormal="141" workbookViewId="0">
      <selection activeCell="N14" sqref="N14"/>
    </sheetView>
  </sheetViews>
  <sheetFormatPr baseColWidth="10" defaultColWidth="8.83203125" defaultRowHeight="15" x14ac:dyDescent="0.2"/>
  <cols>
    <col min="1" max="1" width="20.6640625" bestFit="1" customWidth="1"/>
    <col min="2" max="2" width="10.83203125" bestFit="1" customWidth="1"/>
    <col min="4" max="4" width="20.83203125" customWidth="1"/>
    <col min="5" max="5" width="10.6640625" bestFit="1" customWidth="1"/>
  </cols>
  <sheetData>
    <row r="1" spans="1:5" x14ac:dyDescent="0.2">
      <c r="A1" s="26" t="s">
        <v>79</v>
      </c>
      <c r="B1" s="26"/>
      <c r="C1" s="26"/>
      <c r="D1" s="26"/>
    </row>
    <row r="3" spans="1:5" x14ac:dyDescent="0.2">
      <c r="A3" s="11" t="s">
        <v>80</v>
      </c>
      <c r="D3" s="11" t="s">
        <v>82</v>
      </c>
    </row>
    <row r="4" spans="1:5" x14ac:dyDescent="0.2">
      <c r="A4" t="s">
        <v>64</v>
      </c>
      <c r="B4" s="6">
        <f>Inputs!B8</f>
        <v>0.05</v>
      </c>
      <c r="D4" t="s">
        <v>74</v>
      </c>
      <c r="E4" s="21">
        <f>Loans!B23</f>
        <v>12950.457496545665</v>
      </c>
    </row>
    <row r="5" spans="1:5" x14ac:dyDescent="0.2">
      <c r="A5" t="s">
        <v>66</v>
      </c>
      <c r="B5" s="21">
        <f>Inputs!B13</f>
        <v>10000</v>
      </c>
      <c r="D5" t="s">
        <v>73</v>
      </c>
      <c r="E5" s="21">
        <f>Loans!B22</f>
        <v>2950.4574965456709</v>
      </c>
    </row>
    <row r="6" spans="1:5" x14ac:dyDescent="0.2">
      <c r="A6" t="s">
        <v>65</v>
      </c>
      <c r="B6">
        <f>Inputs!B9</f>
        <v>10</v>
      </c>
      <c r="D6" t="s">
        <v>83</v>
      </c>
      <c r="E6" s="21">
        <f>Loans!E20</f>
        <v>1233.3769044329265</v>
      </c>
    </row>
    <row r="7" spans="1:5" x14ac:dyDescent="0.2">
      <c r="A7" t="s">
        <v>81</v>
      </c>
      <c r="B7" s="22">
        <f>Loans!B7</f>
        <v>1295.0457496545666</v>
      </c>
    </row>
    <row r="9" spans="1:5" x14ac:dyDescent="0.2">
      <c r="A9" s="11" t="s">
        <v>84</v>
      </c>
    </row>
    <row r="26" spans="1:1" x14ac:dyDescent="0.2">
      <c r="A26" t="s">
        <v>85</v>
      </c>
    </row>
  </sheetData>
  <mergeCells count="1">
    <mergeCell ref="A1:D1"/>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README</vt:lpstr>
      <vt:lpstr>Inputs</vt:lpstr>
      <vt:lpstr>Factors</vt:lpstr>
      <vt:lpstr>Annuities</vt:lpstr>
      <vt:lpstr>Loans</vt:lpstr>
      <vt:lpstr>Sensitivity</vt:lpstr>
      <vt:lpstr>Dashboard</vt:lpstr>
      <vt:lpstr>FutureValue</vt:lpstr>
      <vt:lpstr>InterestRate</vt:lpstr>
      <vt:lpstr>LoanAmount</vt:lpstr>
      <vt:lpstr>NumPeriods</vt:lpstr>
      <vt:lpstr>Payment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Brandon Bang</cp:lastModifiedBy>
  <cp:revision/>
  <dcterms:created xsi:type="dcterms:W3CDTF">2026-02-20T02:16:51Z</dcterms:created>
  <dcterms:modified xsi:type="dcterms:W3CDTF">2026-02-24T05:47:00Z</dcterms:modified>
  <cp:category/>
  <cp:contentStatus/>
</cp:coreProperties>
</file>